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Comparison" sheetId="1" state="visible" r:id="rId1"/>
    <sheet name="Assumption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00"/>
    <numFmt numFmtId="165" formatCode="₹0.00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  <col width="11" customWidth="1" min="4" max="4"/>
  </cols>
  <sheetData>
    <row r="1">
      <c r="A1" s="1" t="inlineStr">
        <is>
          <t>LLM Cost Optimisation Audit</t>
        </is>
      </c>
      <c r="B1" s="1" t="n"/>
      <c r="C1" s="1" t="n"/>
      <c r="D1" s="1" t="n"/>
    </row>
    <row r="2">
      <c r="A2" s="2" t="inlineStr">
        <is>
          <t>Metric</t>
        </is>
      </c>
      <c r="B2" s="2" t="inlineStr">
        <is>
          <t>Baseline</t>
        </is>
      </c>
      <c r="C2" s="2" t="inlineStr">
        <is>
          <t>Optimised</t>
        </is>
      </c>
      <c r="D2" s="2" t="inlineStr">
        <is>
          <t>Savings</t>
        </is>
      </c>
    </row>
    <row r="3">
      <c r="A3" t="inlineStr">
        <is>
          <t>Input Tokens</t>
        </is>
      </c>
      <c r="B3" t="n">
        <v>1975</v>
      </c>
      <c r="C3" t="n">
        <v>787</v>
      </c>
      <c r="D3">
        <f>B3-C3</f>
        <v/>
      </c>
    </row>
    <row r="4">
      <c r="A4" t="inlineStr">
        <is>
          <t>Output Tokens</t>
        </is>
      </c>
      <c r="B4" t="n">
        <v>200</v>
      </c>
      <c r="C4" t="n">
        <v>200</v>
      </c>
      <c r="D4">
        <f>B4-C4</f>
        <v/>
      </c>
    </row>
    <row r="5">
      <c r="A5" t="inlineStr">
        <is>
          <t>Total Tokens</t>
        </is>
      </c>
      <c r="B5">
        <f>B3+B4</f>
        <v/>
      </c>
      <c r="C5">
        <f>C3+C4</f>
        <v/>
      </c>
      <c r="D5">
        <f>B5-C5</f>
        <v/>
      </c>
    </row>
    <row r="6">
      <c r="A6" t="inlineStr">
        <is>
          <t>Input Cost (USD)</t>
        </is>
      </c>
      <c r="B6" s="3">
        <f>B3*0.5/1000000</f>
        <v/>
      </c>
      <c r="C6" s="3">
        <f>C3*0.5/1000000</f>
        <v/>
      </c>
      <c r="D6" s="3">
        <f>B6-C6</f>
        <v/>
      </c>
    </row>
    <row r="7">
      <c r="A7" t="inlineStr">
        <is>
          <t>Output Cost (USD)</t>
        </is>
      </c>
      <c r="B7" s="3">
        <f>B4*1.5/1000000</f>
        <v/>
      </c>
      <c r="C7" s="3">
        <f>C4*1.5/1000000</f>
        <v/>
      </c>
      <c r="D7" s="3">
        <f>B7-C7</f>
        <v/>
      </c>
    </row>
    <row r="8">
      <c r="A8" t="inlineStr">
        <is>
          <t>Total Cost (USD)</t>
        </is>
      </c>
      <c r="B8" s="3">
        <f>B6+B7</f>
        <v/>
      </c>
      <c r="C8" s="3">
        <f>C6+C7</f>
        <v/>
      </c>
      <c r="D8" s="3">
        <f>B8-C8</f>
        <v/>
      </c>
    </row>
    <row r="9">
      <c r="A9" t="inlineStr">
        <is>
          <t>Total Cost (INR)</t>
        </is>
      </c>
      <c r="B9" s="4">
        <f>B8*88.0</f>
        <v/>
      </c>
      <c r="C9" s="4">
        <f>C8*88.0</f>
        <v/>
      </c>
      <c r="D9" s="4">
        <f>B9-C9</f>
        <v/>
      </c>
    </row>
    <row r="10">
      <c r="A10" t="inlineStr">
        <is>
          <t>Input Token Reduction (%)</t>
        </is>
      </c>
      <c r="B10" s="5" t="n">
        <v>0</v>
      </c>
      <c r="C10" s="5">
        <f>(B3-C3)/B3</f>
        <v/>
      </c>
      <c r="D10" s="5">
        <f>C10</f>
        <v/>
      </c>
    </row>
    <row r="11">
      <c r="A11" t="inlineStr">
        <is>
          <t>Cost Reduction (%)</t>
        </is>
      </c>
      <c r="B11" s="5" t="n">
        <v>0</v>
      </c>
      <c r="C11" s="5">
        <f>(B9-C9)/B9</f>
        <v/>
      </c>
      <c r="D11" s="5">
        <f>C11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Input price (USD / million tokens)</t>
        </is>
      </c>
      <c r="B2" t="n">
        <v>0.5</v>
      </c>
    </row>
    <row r="3">
      <c r="A3" t="inlineStr">
        <is>
          <t>Output price (USD / million tokens)</t>
        </is>
      </c>
      <c r="B3" t="n">
        <v>1.5</v>
      </c>
    </row>
    <row r="4">
      <c r="A4" t="inlineStr">
        <is>
          <t>USD to INR conversion rate</t>
        </is>
      </c>
      <c r="B4" t="n">
        <v>88</v>
      </c>
    </row>
    <row r="5">
      <c r="A5" t="inlineStr">
        <is>
          <t>Baseline input tokens</t>
        </is>
      </c>
      <c r="B5" t="n">
        <v>1975</v>
      </c>
    </row>
    <row r="6">
      <c r="A6" t="inlineStr">
        <is>
          <t>Optimised input tokens</t>
        </is>
      </c>
      <c r="B6" t="n">
        <v>787</v>
      </c>
    </row>
    <row r="7">
      <c r="A7" t="inlineStr">
        <is>
          <t>Output tokens (held constant)</t>
        </is>
      </c>
      <c r="B7" t="n">
        <v>200</v>
      </c>
    </row>
    <row r="8">
      <c r="A8" t="inlineStr">
        <is>
          <t>Compression setting</t>
        </is>
      </c>
      <c r="B8" t="n">
        <v>0.4</v>
      </c>
    </row>
    <row r="9">
      <c r="A9" t="inlineStr">
        <is>
          <t>Actual measured token reduction (%)</t>
        </is>
      </c>
      <c r="B9" t="n">
        <v>60.15</v>
      </c>
    </row>
    <row r="10">
      <c r="A10" t="inlineStr">
        <is>
          <t>Pricing type</t>
        </is>
      </c>
      <c r="B10" t="inlineStr">
        <is>
          <t>Illustrative API-equivalent pricing</t>
        </is>
      </c>
    </row>
    <row r="11">
      <c r="A11" t="inlineStr">
        <is>
          <t>Tokenizer</t>
        </is>
      </c>
      <c r="B11" t="inlineStr">
        <is>
          <t>tiktoken cl100k_base estimate</t>
        </is>
      </c>
    </row>
    <row r="12">
      <c r="A12" t="inlineStr">
        <is>
          <t>Local Ollama API cost</t>
        </is>
      </c>
      <c r="B12" t="inlineStr">
        <is>
          <t>₹0 per API token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>
      <c r="A1" s="2" t="inlineStr">
        <is>
          <t>Cost Audit Notes</t>
        </is>
      </c>
    </row>
    <row r="2">
      <c r="A2" t="inlineStr">
        <is>
          <t>Baseline uses the original 1,975-token RAG prompt.</t>
        </is>
      </c>
    </row>
    <row r="3">
      <c r="A3" t="inlineStr">
        <is>
          <t>Optimised uses the measured 787-token compressed prompt.</t>
        </is>
      </c>
    </row>
    <row r="4">
      <c r="A4" t="inlineStr">
        <is>
          <t>Output tokens are held constant at 200 for comparison.</t>
        </is>
      </c>
    </row>
    <row r="5">
      <c r="A5" t="inlineStr">
        <is>
          <t>API prices and INR conversion are illustrative assumptions.</t>
        </is>
      </c>
    </row>
    <row r="6">
      <c r="A6" t="inlineStr">
        <is>
          <t>Actual Ollama local inference has no per-token API charge.</t>
        </is>
      </c>
    </row>
    <row r="7">
      <c r="A7" t="inlineStr">
        <is>
          <t>Hardware electricity and operating costs are not included.</t>
        </is>
      </c>
    </row>
    <row r="8">
      <c r="A8" t="inlineStr">
        <is>
          <t>Token counts are estimates using cl100k_base.</t>
        </is>
      </c>
    </row>
    <row r="9">
      <c r="A9" t="inlineStr">
        <is>
          <t>LLMLingua reported a sequence-length warning; compression quality needs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2026-10-31T10:49:13Z</dcterms:created>
  <dcterms:modified xsi:type="dcterms:W3CDTF">2026-10-31T10:49:13Z</dcterms:modified>
</cp:coreProperties>
</file>